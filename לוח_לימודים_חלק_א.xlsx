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לוח לימודים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<sst xmlns="http://schemas.openxmlformats.org/spreadsheetml/2006/main" count="169" uniqueCount="86">
  <si>
    <t xml:space="preserve">תאריך</t>
  </si>
  <si>
    <t xml:space="preserve">יום</t>
  </si>
  <si>
    <t xml:space="preserve">שלב</t>
  </si>
  <si>
    <t xml:space="preserve">נושא</t>
  </si>
  <si>
    <t xml:space="preserve">סעיפים לכיסוי</t>
  </si>
  <si>
    <t xml:space="preserve">שעות למידה</t>
  </si>
  <si>
    <t xml:space="preserve">תרגול AI (שעות)</t>
  </si>
  <si>
    <t xml:space="preserve">סה"כ שעות</t>
  </si>
  <si>
    <t xml:space="preserve">02.07.2026</t>
  </si>
  <si>
    <t xml:space="preserve">חמישי</t>
  </si>
  <si>
    <t xml:space="preserve">מעבר 1</t>
  </si>
  <si>
    <t xml:space="preserve">אנדוקרינולוגיה</t>
  </si>
  <si>
    <t xml:space="preserve">• אנטומיה, פיזיולוגיה ואומדן המערכת ההורמונלית
• היפופיזה: Hypopituitarism, Hyperpituitarism, Diabetes Insipidus, SIADH
• בלוטת התריס: Hypothyroidism, Hyperthyroidism, Thyroiditis, Thyroid Cancer
• בלוטת יותרת הכליה: Addison's Disease, Cushing's, Hyperaldosteronism</t>
  </si>
  <si>
    <t xml:space="preserve">03.07.2026</t>
  </si>
  <si>
    <t xml:space="preserve">שישי</t>
  </si>
  <si>
    <t xml:space="preserve">• בלוטת יותרת התריס: Hypoparathyroidism, Hyperparathyroidism
• Diabetes Mellitus Type 1 — פתופיזיולוגיה, אינסולין
• Diabetes Mellitus Type 2 — גורמי סיכון, ניהול תרופתי
• סיבוכי סוכרת: DKA, HHS, היפוגליקמיה, כף רגל סוכרתית</t>
  </si>
  <si>
    <t xml:space="preserve">04.07.2026</t>
  </si>
  <si>
    <t xml:space="preserve">שבת</t>
  </si>
  <si>
    <t xml:space="preserve">מבוא לסיעוד המבוגר — טיפול סביב ניתוחי</t>
  </si>
  <si>
    <t xml:space="preserve">• סוגי ניתוחים — סיווג לפי מטרה, היקף ודחיפות
• Preoperative: הערכת סיכון ניתוחי לפי מערכות גוף
• Preoperative: הסכמה מדעת (חוק זכויות החולה) + הכנת המטופל
• Intraoperative: צוות חדר ניתוח — תפקידים וסביבה
• Intraoperative: סוגי הרדמה, תרופות וסיבוכים, תנוחות</t>
  </si>
  <si>
    <t xml:space="preserve">05.07.2026</t>
  </si>
  <si>
    <t xml:space="preserve">ראשון</t>
  </si>
  <si>
    <t xml:space="preserve">מבוא לסיעוד המבוגר — טיפול סביב ניתוחי + מצבי הלם</t>
  </si>
  <si>
    <t xml:space="preserve">• Postoperative: עקרונות טיפול לאחר ניתוח
• Postoperative: סיבוכים מוקדמים ומאוחרים
• שחרור מטופל, הכנה ושיקום
• החדרת והוצאת צנתר שלפוחית השתן — חוזרים
• Hypovolemic Shock — גורמים, שלבים, טיפול
• Cardiogenic Shock — גורמים ועקרונות טיפול</t>
  </si>
  <si>
    <t xml:space="preserve">06.07.2026</t>
  </si>
  <si>
    <t xml:space="preserve">שני</t>
  </si>
  <si>
    <t xml:space="preserve">מבוא לסיעוד המבוגר — מצבי הלם</t>
  </si>
  <si>
    <t xml:space="preserve">• Anaphylactic Shock — זיהוי, אפינפרין, מניעה
• Septic Shock — SIRS, Sepsis, גורמים, טיפול
• Neurogenic Shock + Obstructive Shock
• שלבי ההלם: Compensated → Progressive → Irreversible
• ניהול סיעודי — ניטור, גישה ורידית, תרופות</t>
  </si>
  <si>
    <t xml:space="preserve">07.07.2026</t>
  </si>
  <si>
    <t xml:space="preserve">שלישי</t>
  </si>
  <si>
    <t xml:space="preserve">מחלות כלי דם פריפריים</t>
  </si>
  <si>
    <t xml:space="preserve">• בדיקות: Doppler, Duplex US, CT, MRA, Angiography, Venography
• הפרעות עורקיות: PAD, Aortic Aneurysm &amp; Dissection
• Arterial Embolism &amp; Thrombosis, Raynaud's Phenomenon
• הפרעות ורידיות: VTE/DVT, Chronic Venous Insufficiency, Leg Ulcer
• Varicose Veins — טיפול ומניעה
• הפרעות לימפתיות: Lymphedema, Cellulitis, Lymphangitis</t>
  </si>
  <si>
    <t xml:space="preserve">08.07.2026</t>
  </si>
  <si>
    <t xml:space="preserve">רביעי</t>
  </si>
  <si>
    <t xml:space="preserve">מערכת נשימה</t>
  </si>
  <si>
    <t xml:space="preserve">• אנטומיה, פיזיולוגיה ואומדן מערכת הנשימה
• בדיקות: PFT, ABG, Pulse Oximetry, Bronchoscopy, Thoracentesis
• הפרעות מאזן חומצי-בסיסי: Respiratory &amp; Metabolic Acidosis/Alkalosis
• Asthma + Status Asthmaticus
• COPD: Chronic Bronchitis &amp; Emphysema — שלבי GOLD
• Pulmonary Fibrosis, Pulmonary Arterial Hypertension, Lung Cancer</t>
  </si>
  <si>
    <t xml:space="preserve">09.07.2026</t>
  </si>
  <si>
    <t xml:space="preserve">• Atelectasis, Pneumonia, Pulmonary TB, Lung Abscess
• ARF, ARDS, Pulmonary Embolism
• חבלות חזה: Flail Chest, Pneumothorax, Hemothorax, Cardiac Tamponade
• טיפול בחמצן: Low Flow / High Flow Systems
• NIV: CPAP, BiPAP
• Invasive: Intubation, Tracheostomy, Mechanical Ventilation &amp; Weaning</t>
  </si>
  <si>
    <t xml:space="preserve">10.07.2026</t>
  </si>
  <si>
    <t xml:space="preserve">מערכת עיכול (כירורגיה)</t>
  </si>
  <si>
    <t xml:space="preserve">• אנטומיה, פיזיולוגיה ואומדן מערכת העיכול
• בדיקות: אנדוסקופיה (Gastroscopy, Colonoscopy, ERCP), CT, MRI
• מחלות ושט: Achalasia, GERD, Barrett Esophagus, Hiatal Hernia, Cancer</t>
  </si>
  <si>
    <t xml:space="preserve">11.07.2026</t>
  </si>
  <si>
    <t xml:space="preserve">• מחלות קיבה ותריסריון: Gastritis, Peptic Ulcer Disease, Gastric Cancer
• Bariatric Surgery — טיפול סיעודי
• מחלות כבד: Viral/Nonviral Hepatitis, Cirrhosis, Liver Cancer</t>
  </si>
  <si>
    <t xml:space="preserve">12.07.2026</t>
  </si>
  <si>
    <t xml:space="preserve">• מחלות מרה: Cholecystitis, Cholelithiasis
• מחלות לבלב: Acute/Chronic Pancreatitis, Pancreatic Cancer</t>
  </si>
  <si>
    <t xml:space="preserve">13.07.2026</t>
  </si>
  <si>
    <t xml:space="preserve">• מחלות מעיים: IBS, Peritonitis, Appendicitis, Intestinal Obstruction
• IBD: Crohn's Disease, Ulcerative Colitis — הבדלים, טיפול</t>
  </si>
  <si>
    <t xml:space="preserve">14.07.2026</t>
  </si>
  <si>
    <t xml:space="preserve">• Colorectal Cancer, Polyps + Ileostomy/Colostomy — עקרונות טיפול
• Hemorrhoids, Anal Fissure, Anorectal Abscess</t>
  </si>
  <si>
    <t xml:space="preserve">15.07.2026</t>
  </si>
  <si>
    <t xml:space="preserve">קרדיולוגיה</t>
  </si>
  <si>
    <t xml:space="preserve">• אנטומיה, פיזיולוגיה ואומדן הלב
• בדיקות: ECG, Echo, Cardiac Cath, Stress Test, Hemodynamic Monitoring
• פענוח אק"ג: קצב סינוס תקין, ציר, גל P-QRS-T
• הפרעות קצב: Sinus, Atrial (Afib/Flutter), Junctional, Ventricular (VT/VF)</t>
  </si>
  <si>
    <t xml:space="preserve">16.07.2026</t>
  </si>
  <si>
    <t xml:space="preserve">• Heart Blocks: 1st, 2nd (Type I/II), 3rd Degree — טיפול וקוצבים
• Defib + AED — חוזר מנהל האחיות
• מחלות כליליות: Stable Angina, ACS, NSTEMI, STEMI
• PCI &amp; CABG — טיפול סיעודי</t>
  </si>
  <si>
    <t xml:space="preserve">17.07.2026</t>
  </si>
  <si>
    <t xml:space="preserve">• מחלות מסתמיות: Mitral Valve, Aortic Valve — Stenosis &amp; Regurgitation
• Heart Failure: Left/Right/Congestive, Pulmonary Edema
• מחלות דלקתיות: Endocarditis, Pericarditis, Myocarditis, Rheumatic Carditis
• יתר לחץ דם: אבחון, סיבוכים רב-מערכתיים, טיפול</t>
  </si>
  <si>
    <t xml:space="preserve">18.07.2026</t>
  </si>
  <si>
    <t xml:space="preserve">ריענון</t>
  </si>
  <si>
    <t xml:space="preserve">• אנטומיה, פיזיולוגיה ואומדן המערכת ההורמונלית
• היפופיזה: Hypopituitarism, Hyperpituitarism, Diabetes Insipidus, SIADH
• בלוטת התריס: Hypothyroidism, Hyperthyroidism, Thyroiditis, Thyroid Cancer
• בלוטת יותרת הכליה: Addison's Disease, Cushing's, Hyperaldosteronism
• בלוטת יותרת התריס: Hypoparathyroidism, Hyperparathyroidism
• Diabetes Mellitus Type 1 — פתופיזיולוגיה, אינסולין
• Diabetes Mellitus Type 2 — גורמי סיכון, ניהול תרופתי
• סיבוכי סוכרת: DKA, HHS, היפוגליקמיה, כף רגל סוכרתית</t>
  </si>
  <si>
    <t xml:space="preserve">19.07.2026</t>
  </si>
  <si>
    <t xml:space="preserve">• סוגי ניתוחים — סיווג לפי מטרה, היקף ודחיפות
• Preoperative: הערכת סיכון ניתוחי לפי מערכות גוף
• Preoperative: הסכמה מדעת (חוק זכויות החולה) + הכנת המטופל
• Intraoperative: צוות חדר ניתוח — תפקידים וסביבה
• Intraoperative: סוגי הרדמה, תרופות וסיבוכים, תנוחות
• Postoperative: עקרונות טיפול לאחר ניתוח
• Postoperative: סיבוכים מוקדמים ומאוחרים
• שחרור מטופל, הכנה ושיקום
• החדרת והוצאת צנתר שלפוחית השתן — חוזרים</t>
  </si>
  <si>
    <t xml:space="preserve">20.07.2026</t>
  </si>
  <si>
    <t xml:space="preserve">• Hypovolemic Shock — גורמים, שלבים, טיפול
• Cardiogenic Shock — גורמים ועקרונות טיפול
• Anaphylactic Shock — זיהוי, אפינפרין, מניעה
• Septic Shock — SIRS, Sepsis, גורמים, טיפול
• Neurogenic Shock + Obstructive Shock
• שלבי ההלם: Compensated → Progressive → Irreversible
• ניהול סיעודי — ניטור, גישה ורידית, תרופות</t>
  </si>
  <si>
    <t xml:space="preserve">21.07.2026</t>
  </si>
  <si>
    <t xml:space="preserve">22.07.2026</t>
  </si>
  <si>
    <t xml:space="preserve">23.07.2026</t>
  </si>
  <si>
    <t xml:space="preserve">24.07.2026</t>
  </si>
  <si>
    <t xml:space="preserve">25.07.2026</t>
  </si>
  <si>
    <t xml:space="preserve">26.07.2026</t>
  </si>
  <si>
    <t xml:space="preserve">• מחלות מרה: Cholecystitis, Cholelithiasis
• מחלות לבלב: Acute/Chronic Pancreatitis, Pancreatic Cancer
• מחלות מעיים: IBS, Peritonitis, Appendicitis, Intestinal Obstruction</t>
  </si>
  <si>
    <t xml:space="preserve">27.07.2026</t>
  </si>
  <si>
    <t xml:space="preserve">• IBD: Crohn's Disease, Ulcerative Colitis — הבדלים, טיפול
• Colorectal Cancer, Polyps + Ileostomy/Colostomy — עקרונות טיפול
• Hemorrhoids, Anal Fissure, Anorectal Abscess</t>
  </si>
  <si>
    <t xml:space="preserve">28.07.2026</t>
  </si>
  <si>
    <t xml:space="preserve">29.07.2026</t>
  </si>
  <si>
    <t xml:space="preserve">30.07.2026</t>
  </si>
  <si>
    <t xml:space="preserve">31.07.2026</t>
  </si>
  <si>
    <t xml:space="preserve">חזרה אחרונה</t>
  </si>
  <si>
    <t xml:space="preserve">חזרה כללית + מבחן תרגול</t>
  </si>
  <si>
    <t xml:space="preserve">• חזרה מהירה על כל 7 תתי-הנושאים
• פתרון מבחן תרגול מלא ובדיקתו</t>
  </si>
  <si>
    <t xml:space="preserve">01.08.2026</t>
  </si>
  <si>
    <t xml:space="preserve">• סבב שני על נקודות תורפה
• פתרון מבחן תרגול נוסף</t>
  </si>
  <si>
    <t xml:space="preserve">02.08.2026</t>
  </si>
  <si>
    <t xml:space="preserve">מבחן</t>
  </si>
  <si>
    <t xml:space="preserve">מבחן חלק א׳</t>
  </si>
  <si>
    <t xml:space="preserve">• בהצלחה!</t>
  </si>
  <si>
    <t xml:space="preserve">סה"כ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</si>
</sst>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FFF2CC"/>
      </patternFill>
    </fill>
    <fill>
      <patternFill patternType="solid">
        <fgColor rgb="FFC6E0B4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1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60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n">
        <v>2</v>
      </c>
      <c r="G2" s="2" t="n">
        <v>0.5</v>
      </c>
      <c r="H2" s="2" t="n">
        <f aca="false">F2+G2</f>
        <v>2.5</v>
      </c>
    </row>
    <row r="3" customFormat="false" ht="60" hidden="false" customHeight="true" outlineLevel="0" collapsed="false">
      <c r="A3" s="2" t="s">
        <v>13</v>
      </c>
      <c r="B3" s="2" t="s">
        <v>14</v>
      </c>
      <c r="C3" s="2" t="s">
        <v>10</v>
      </c>
      <c r="D3" s="2" t="s">
        <v>11</v>
      </c>
      <c r="E3" s="3" t="s">
        <v>15</v>
      </c>
      <c r="F3" s="2" t="n">
        <v>2</v>
      </c>
      <c r="G3" s="2" t="n">
        <v>0.5</v>
      </c>
      <c r="H3" s="2" t="n">
        <f aca="false">F3+G3</f>
        <v>2.5</v>
      </c>
    </row>
    <row r="4" customFormat="false" ht="75" hidden="false" customHeight="true" outlineLevel="0" collapsed="false">
      <c r="A4" s="2" t="s">
        <v>16</v>
      </c>
      <c r="B4" s="2" t="s">
        <v>17</v>
      </c>
      <c r="C4" s="2" t="s">
        <v>10</v>
      </c>
      <c r="D4" s="2" t="s">
        <v>18</v>
      </c>
      <c r="E4" s="3" t="s">
        <v>19</v>
      </c>
      <c r="F4" s="2" t="n">
        <v>2</v>
      </c>
      <c r="G4" s="2" t="n">
        <v>0.5</v>
      </c>
      <c r="H4" s="2" t="n">
        <f aca="false">F4+G4</f>
        <v>2.5</v>
      </c>
    </row>
    <row r="5" customFormat="false" ht="90" hidden="false" customHeight="true" outlineLevel="0" collapsed="false">
      <c r="A5" s="2" t="s">
        <v>20</v>
      </c>
      <c r="B5" s="2" t="s">
        <v>21</v>
      </c>
      <c r="C5" s="2" t="s">
        <v>10</v>
      </c>
      <c r="D5" s="2" t="s">
        <v>22</v>
      </c>
      <c r="E5" s="3" t="s">
        <v>23</v>
      </c>
      <c r="F5" s="2" t="n">
        <v>2</v>
      </c>
      <c r="G5" s="2" t="n">
        <v>0.5</v>
      </c>
      <c r="H5" s="2" t="n">
        <f aca="false">F5+G5</f>
        <v>2.5</v>
      </c>
    </row>
    <row r="6" customFormat="false" ht="75" hidden="false" customHeight="true" outlineLevel="0" collapsed="false">
      <c r="A6" s="2" t="s">
        <v>24</v>
      </c>
      <c r="B6" s="2" t="s">
        <v>25</v>
      </c>
      <c r="C6" s="2" t="s">
        <v>10</v>
      </c>
      <c r="D6" s="2" t="s">
        <v>26</v>
      </c>
      <c r="E6" s="3" t="s">
        <v>27</v>
      </c>
      <c r="F6" s="2" t="n">
        <v>2</v>
      </c>
      <c r="G6" s="2" t="n">
        <v>0.5</v>
      </c>
      <c r="H6" s="2" t="n">
        <f aca="false">F6+G6</f>
        <v>2.5</v>
      </c>
    </row>
    <row r="7" customFormat="false" ht="90" hidden="false" customHeight="true" outlineLevel="0" collapsed="false">
      <c r="A7" s="2" t="s">
        <v>28</v>
      </c>
      <c r="B7" s="2" t="s">
        <v>29</v>
      </c>
      <c r="C7" s="2" t="s">
        <v>10</v>
      </c>
      <c r="D7" s="2" t="s">
        <v>30</v>
      </c>
      <c r="E7" s="3" t="s">
        <v>31</v>
      </c>
      <c r="F7" s="2" t="n">
        <v>3</v>
      </c>
      <c r="G7" s="2" t="n">
        <v>0.5</v>
      </c>
      <c r="H7" s="2" t="n">
        <f aca="false">F7+G7</f>
        <v>3.5</v>
      </c>
    </row>
    <row r="8" customFormat="false" ht="90" hidden="false" customHeight="true" outlineLevel="0" collapsed="false">
      <c r="A8" s="2" t="s">
        <v>32</v>
      </c>
      <c r="B8" s="2" t="s">
        <v>33</v>
      </c>
      <c r="C8" s="2" t="s">
        <v>10</v>
      </c>
      <c r="D8" s="2" t="s">
        <v>34</v>
      </c>
      <c r="E8" s="3" t="s">
        <v>35</v>
      </c>
      <c r="F8" s="2" t="n">
        <v>2</v>
      </c>
      <c r="G8" s="2" t="n">
        <v>0.5</v>
      </c>
      <c r="H8" s="2" t="n">
        <f aca="false">F8+G8</f>
        <v>2.5</v>
      </c>
    </row>
    <row r="9" customFormat="false" ht="90" hidden="false" customHeight="true" outlineLevel="0" collapsed="false">
      <c r="A9" s="2" t="s">
        <v>36</v>
      </c>
      <c r="B9" s="2" t="s">
        <v>9</v>
      </c>
      <c r="C9" s="2" t="s">
        <v>10</v>
      </c>
      <c r="D9" s="2" t="s">
        <v>34</v>
      </c>
      <c r="E9" s="3" t="s">
        <v>37</v>
      </c>
      <c r="F9" s="2" t="n">
        <v>2</v>
      </c>
      <c r="G9" s="2" t="n">
        <v>0.5</v>
      </c>
      <c r="H9" s="2" t="n">
        <f aca="false">F9+G9</f>
        <v>2.5</v>
      </c>
    </row>
    <row r="10" customFormat="false" ht="45" hidden="false" customHeight="true" outlineLevel="0" collapsed="false">
      <c r="A10" s="2" t="s">
        <v>38</v>
      </c>
      <c r="B10" s="2" t="s">
        <v>14</v>
      </c>
      <c r="C10" s="2" t="s">
        <v>10</v>
      </c>
      <c r="D10" s="2" t="s">
        <v>39</v>
      </c>
      <c r="E10" s="3" t="s">
        <v>40</v>
      </c>
      <c r="F10" s="2" t="n">
        <v>2</v>
      </c>
      <c r="G10" s="2" t="n">
        <v>0.5</v>
      </c>
      <c r="H10" s="2" t="n">
        <f aca="false">F10+G10</f>
        <v>2.5</v>
      </c>
    </row>
    <row r="11" customFormat="false" ht="45" hidden="false" customHeight="true" outlineLevel="0" collapsed="false">
      <c r="A11" s="2" t="s">
        <v>41</v>
      </c>
      <c r="B11" s="2" t="s">
        <v>17</v>
      </c>
      <c r="C11" s="2" t="s">
        <v>10</v>
      </c>
      <c r="D11" s="2" t="s">
        <v>39</v>
      </c>
      <c r="E11" s="3" t="s">
        <v>42</v>
      </c>
      <c r="F11" s="2" t="n">
        <v>2</v>
      </c>
      <c r="G11" s="2" t="n">
        <v>0.5</v>
      </c>
      <c r="H11" s="2" t="n">
        <f aca="false">F11+G11</f>
        <v>2.5</v>
      </c>
    </row>
    <row r="12" customFormat="false" ht="30" hidden="false" customHeight="true" outlineLevel="0" collapsed="false">
      <c r="A12" s="2" t="s">
        <v>43</v>
      </c>
      <c r="B12" s="2" t="s">
        <v>21</v>
      </c>
      <c r="C12" s="2" t="s">
        <v>10</v>
      </c>
      <c r="D12" s="2" t="s">
        <v>39</v>
      </c>
      <c r="E12" s="3" t="s">
        <v>44</v>
      </c>
      <c r="F12" s="2" t="n">
        <v>2</v>
      </c>
      <c r="G12" s="2" t="n">
        <v>0.5</v>
      </c>
      <c r="H12" s="2" t="n">
        <f aca="false">F12+G12</f>
        <v>2.5</v>
      </c>
    </row>
    <row r="13" customFormat="false" ht="30" hidden="false" customHeight="true" outlineLevel="0" collapsed="false">
      <c r="A13" s="2" t="s">
        <v>45</v>
      </c>
      <c r="B13" s="2" t="s">
        <v>25</v>
      </c>
      <c r="C13" s="2" t="s">
        <v>10</v>
      </c>
      <c r="D13" s="2" t="s">
        <v>39</v>
      </c>
      <c r="E13" s="3" t="s">
        <v>46</v>
      </c>
      <c r="F13" s="2" t="n">
        <v>2</v>
      </c>
      <c r="G13" s="2" t="n">
        <v>0.5</v>
      </c>
      <c r="H13" s="2" t="n">
        <f aca="false">F13+G13</f>
        <v>2.5</v>
      </c>
    </row>
    <row r="14" customFormat="false" ht="30" hidden="false" customHeight="true" outlineLevel="0" collapsed="false">
      <c r="A14" s="2" t="s">
        <v>47</v>
      </c>
      <c r="B14" s="2" t="s">
        <v>29</v>
      </c>
      <c r="C14" s="2" t="s">
        <v>10</v>
      </c>
      <c r="D14" s="2" t="s">
        <v>39</v>
      </c>
      <c r="E14" s="3" t="s">
        <v>48</v>
      </c>
      <c r="F14" s="2" t="n">
        <v>2</v>
      </c>
      <c r="G14" s="2" t="n">
        <v>0.5</v>
      </c>
      <c r="H14" s="2" t="n">
        <f aca="false">F14+G14</f>
        <v>2.5</v>
      </c>
    </row>
    <row r="15" customFormat="false" ht="60" hidden="false" customHeight="true" outlineLevel="0" collapsed="false">
      <c r="A15" s="2" t="s">
        <v>49</v>
      </c>
      <c r="B15" s="2" t="s">
        <v>33</v>
      </c>
      <c r="C15" s="2" t="s">
        <v>10</v>
      </c>
      <c r="D15" s="2" t="s">
        <v>50</v>
      </c>
      <c r="E15" s="3" t="s">
        <v>51</v>
      </c>
      <c r="F15" s="2" t="n">
        <v>2.5</v>
      </c>
      <c r="G15" s="2" t="n">
        <v>0.5</v>
      </c>
      <c r="H15" s="2" t="n">
        <f aca="false">F15+G15</f>
        <v>3</v>
      </c>
    </row>
    <row r="16" customFormat="false" ht="60" hidden="false" customHeight="true" outlineLevel="0" collapsed="false">
      <c r="A16" s="2" t="s">
        <v>52</v>
      </c>
      <c r="B16" s="2" t="s">
        <v>9</v>
      </c>
      <c r="C16" s="2" t="s">
        <v>10</v>
      </c>
      <c r="D16" s="2" t="s">
        <v>50</v>
      </c>
      <c r="E16" s="3" t="s">
        <v>53</v>
      </c>
      <c r="F16" s="2" t="n">
        <v>2.5</v>
      </c>
      <c r="G16" s="2" t="n">
        <v>0.5</v>
      </c>
      <c r="H16" s="2" t="n">
        <f aca="false">F16+G16</f>
        <v>3</v>
      </c>
    </row>
    <row r="17" customFormat="false" ht="60" hidden="false" customHeight="true" outlineLevel="0" collapsed="false">
      <c r="A17" s="2" t="s">
        <v>54</v>
      </c>
      <c r="B17" s="2" t="s">
        <v>14</v>
      </c>
      <c r="C17" s="2" t="s">
        <v>10</v>
      </c>
      <c r="D17" s="2" t="s">
        <v>50</v>
      </c>
      <c r="E17" s="3" t="s">
        <v>55</v>
      </c>
      <c r="F17" s="2" t="n">
        <v>2.5</v>
      </c>
      <c r="G17" s="2" t="n">
        <v>0.5</v>
      </c>
      <c r="H17" s="2" t="n">
        <f aca="false">F17+G17</f>
        <v>3</v>
      </c>
    </row>
    <row r="18" customFormat="false" ht="120" hidden="false" customHeight="true" outlineLevel="0" collapsed="false">
      <c r="A18" s="4" t="s">
        <v>56</v>
      </c>
      <c r="B18" s="4" t="s">
        <v>17</v>
      </c>
      <c r="C18" s="4" t="s">
        <v>57</v>
      </c>
      <c r="D18" s="4" t="s">
        <v>11</v>
      </c>
      <c r="E18" s="5" t="s">
        <v>58</v>
      </c>
      <c r="F18" s="4" t="n">
        <v>1.5</v>
      </c>
      <c r="G18" s="4" t="n">
        <v>0.5</v>
      </c>
      <c r="H18" s="4" t="n">
        <f aca="false">F18+G18</f>
        <v>2</v>
      </c>
    </row>
    <row r="19" customFormat="false" ht="135" hidden="false" customHeight="true" outlineLevel="0" collapsed="false">
      <c r="A19" s="4" t="s">
        <v>59</v>
      </c>
      <c r="B19" s="4" t="s">
        <v>21</v>
      </c>
      <c r="C19" s="4" t="s">
        <v>57</v>
      </c>
      <c r="D19" s="4" t="s">
        <v>18</v>
      </c>
      <c r="E19" s="5" t="s">
        <v>60</v>
      </c>
      <c r="F19" s="4" t="n">
        <v>1.5</v>
      </c>
      <c r="G19" s="4" t="n">
        <v>0.5</v>
      </c>
      <c r="H19" s="4" t="n">
        <f aca="false">F19+G19</f>
        <v>2</v>
      </c>
    </row>
    <row r="20" customFormat="false" ht="105" hidden="false" customHeight="true" outlineLevel="0" collapsed="false">
      <c r="A20" s="4" t="s">
        <v>61</v>
      </c>
      <c r="B20" s="4" t="s">
        <v>25</v>
      </c>
      <c r="C20" s="4" t="s">
        <v>57</v>
      </c>
      <c r="D20" s="4" t="s">
        <v>26</v>
      </c>
      <c r="E20" s="5" t="s">
        <v>62</v>
      </c>
      <c r="F20" s="4" t="n">
        <v>1.5</v>
      </c>
      <c r="G20" s="4" t="n">
        <v>0.5</v>
      </c>
      <c r="H20" s="4" t="n">
        <f aca="false">F20+G20</f>
        <v>2</v>
      </c>
    </row>
    <row r="21" customFormat="false" ht="90" hidden="false" customHeight="true" outlineLevel="0" collapsed="false">
      <c r="A21" s="4" t="s">
        <v>63</v>
      </c>
      <c r="B21" s="4" t="s">
        <v>29</v>
      </c>
      <c r="C21" s="4" t="s">
        <v>57</v>
      </c>
      <c r="D21" s="4" t="s">
        <v>30</v>
      </c>
      <c r="E21" s="5" t="s">
        <v>31</v>
      </c>
      <c r="F21" s="4" t="n">
        <v>1.5</v>
      </c>
      <c r="G21" s="4" t="n">
        <v>0.5</v>
      </c>
      <c r="H21" s="4" t="n">
        <f aca="false">F21+G21</f>
        <v>2</v>
      </c>
    </row>
    <row r="22" customFormat="false" ht="90" hidden="false" customHeight="true" outlineLevel="0" collapsed="false">
      <c r="A22" s="4" t="s">
        <v>64</v>
      </c>
      <c r="B22" s="4" t="s">
        <v>33</v>
      </c>
      <c r="C22" s="4" t="s">
        <v>57</v>
      </c>
      <c r="D22" s="4" t="s">
        <v>34</v>
      </c>
      <c r="E22" s="5" t="s">
        <v>35</v>
      </c>
      <c r="F22" s="4" t="n">
        <v>1</v>
      </c>
      <c r="G22" s="4" t="n">
        <v>0.5</v>
      </c>
      <c r="H22" s="4" t="n">
        <f aca="false">F22+G22</f>
        <v>1.5</v>
      </c>
    </row>
    <row r="23" customFormat="false" ht="90" hidden="false" customHeight="true" outlineLevel="0" collapsed="false">
      <c r="A23" s="4" t="s">
        <v>65</v>
      </c>
      <c r="B23" s="4" t="s">
        <v>9</v>
      </c>
      <c r="C23" s="4" t="s">
        <v>57</v>
      </c>
      <c r="D23" s="4" t="s">
        <v>34</v>
      </c>
      <c r="E23" s="5" t="s">
        <v>37</v>
      </c>
      <c r="F23" s="4" t="n">
        <v>1</v>
      </c>
      <c r="G23" s="4" t="n">
        <v>0.5</v>
      </c>
      <c r="H23" s="4" t="n">
        <f aca="false">F23+G23</f>
        <v>1.5</v>
      </c>
    </row>
    <row r="24" customFormat="false" ht="45" hidden="false" customHeight="true" outlineLevel="0" collapsed="false">
      <c r="A24" s="4" t="s">
        <v>66</v>
      </c>
      <c r="B24" s="4" t="s">
        <v>14</v>
      </c>
      <c r="C24" s="4" t="s">
        <v>57</v>
      </c>
      <c r="D24" s="4" t="s">
        <v>39</v>
      </c>
      <c r="E24" s="5" t="s">
        <v>40</v>
      </c>
      <c r="F24" s="4" t="n">
        <v>1</v>
      </c>
      <c r="G24" s="4" t="n">
        <v>0.5</v>
      </c>
      <c r="H24" s="4" t="n">
        <f aca="false">F24+G24</f>
        <v>1.5</v>
      </c>
    </row>
    <row r="25" customFormat="false" ht="45" hidden="false" customHeight="true" outlineLevel="0" collapsed="false">
      <c r="A25" s="4" t="s">
        <v>67</v>
      </c>
      <c r="B25" s="4" t="s">
        <v>17</v>
      </c>
      <c r="C25" s="4" t="s">
        <v>57</v>
      </c>
      <c r="D25" s="4" t="s">
        <v>39</v>
      </c>
      <c r="E25" s="5" t="s">
        <v>42</v>
      </c>
      <c r="F25" s="4" t="n">
        <v>1</v>
      </c>
      <c r="G25" s="4" t="n">
        <v>0.5</v>
      </c>
      <c r="H25" s="4" t="n">
        <f aca="false">F25+G25</f>
        <v>1.5</v>
      </c>
    </row>
    <row r="26" customFormat="false" ht="45" hidden="false" customHeight="true" outlineLevel="0" collapsed="false">
      <c r="A26" s="4" t="s">
        <v>68</v>
      </c>
      <c r="B26" s="4" t="s">
        <v>21</v>
      </c>
      <c r="C26" s="4" t="s">
        <v>57</v>
      </c>
      <c r="D26" s="4" t="s">
        <v>39</v>
      </c>
      <c r="E26" s="5" t="s">
        <v>69</v>
      </c>
      <c r="F26" s="4" t="n">
        <v>1</v>
      </c>
      <c r="G26" s="4" t="n">
        <v>0.5</v>
      </c>
      <c r="H26" s="4" t="n">
        <f aca="false">F26+G26</f>
        <v>1.5</v>
      </c>
    </row>
    <row r="27" customFormat="false" ht="45" hidden="false" customHeight="true" outlineLevel="0" collapsed="false">
      <c r="A27" s="4" t="s">
        <v>70</v>
      </c>
      <c r="B27" s="4" t="s">
        <v>25</v>
      </c>
      <c r="C27" s="4" t="s">
        <v>57</v>
      </c>
      <c r="D27" s="4" t="s">
        <v>39</v>
      </c>
      <c r="E27" s="5" t="s">
        <v>71</v>
      </c>
      <c r="F27" s="4" t="n">
        <v>1</v>
      </c>
      <c r="G27" s="4" t="n">
        <v>0.5</v>
      </c>
      <c r="H27" s="4" t="n">
        <f aca="false">F27+G27</f>
        <v>1.5</v>
      </c>
    </row>
    <row r="28" customFormat="false" ht="60" hidden="false" customHeight="true" outlineLevel="0" collapsed="false">
      <c r="A28" s="4" t="s">
        <v>72</v>
      </c>
      <c r="B28" s="4" t="s">
        <v>29</v>
      </c>
      <c r="C28" s="4" t="s">
        <v>57</v>
      </c>
      <c r="D28" s="4" t="s">
        <v>50</v>
      </c>
      <c r="E28" s="5" t="s">
        <v>51</v>
      </c>
      <c r="F28" s="4" t="n">
        <v>1</v>
      </c>
      <c r="G28" s="4" t="n">
        <v>0.5</v>
      </c>
      <c r="H28" s="4" t="n">
        <f aca="false">F28+G28</f>
        <v>1.5</v>
      </c>
    </row>
    <row r="29" customFormat="false" ht="60" hidden="false" customHeight="true" outlineLevel="0" collapsed="false">
      <c r="A29" s="4" t="s">
        <v>73</v>
      </c>
      <c r="B29" s="4" t="s">
        <v>33</v>
      </c>
      <c r="C29" s="4" t="s">
        <v>57</v>
      </c>
      <c r="D29" s="4" t="s">
        <v>50</v>
      </c>
      <c r="E29" s="5" t="s">
        <v>53</v>
      </c>
      <c r="F29" s="4" t="n">
        <v>1</v>
      </c>
      <c r="G29" s="4" t="n">
        <v>0.5</v>
      </c>
      <c r="H29" s="4" t="n">
        <f aca="false">F29+G29</f>
        <v>1.5</v>
      </c>
    </row>
    <row r="30" customFormat="false" ht="60" hidden="false" customHeight="true" outlineLevel="0" collapsed="false">
      <c r="A30" s="4" t="s">
        <v>74</v>
      </c>
      <c r="B30" s="4" t="s">
        <v>9</v>
      </c>
      <c r="C30" s="4" t="s">
        <v>57</v>
      </c>
      <c r="D30" s="4" t="s">
        <v>50</v>
      </c>
      <c r="E30" s="5" t="s">
        <v>55</v>
      </c>
      <c r="F30" s="4" t="n">
        <v>1</v>
      </c>
      <c r="G30" s="4" t="n">
        <v>0.5</v>
      </c>
      <c r="H30" s="4" t="n">
        <f aca="false">F30+G30</f>
        <v>1.5</v>
      </c>
    </row>
    <row r="31" customFormat="false" ht="30" hidden="false" customHeight="true" outlineLevel="0" collapsed="false">
      <c r="A31" s="6" t="s">
        <v>75</v>
      </c>
      <c r="B31" s="6" t="s">
        <v>14</v>
      </c>
      <c r="C31" s="6" t="s">
        <v>76</v>
      </c>
      <c r="D31" s="6" t="s">
        <v>77</v>
      </c>
      <c r="E31" s="7" t="s">
        <v>78</v>
      </c>
      <c r="F31" s="6" t="n">
        <v>3</v>
      </c>
      <c r="G31" s="6" t="n">
        <v>0.5</v>
      </c>
      <c r="H31" s="6" t="n">
        <f aca="false">F31+G31</f>
        <v>3.5</v>
      </c>
    </row>
    <row r="32" customFormat="false" ht="30" hidden="false" customHeight="true" outlineLevel="0" collapsed="false">
      <c r="A32" s="6" t="s">
        <v>79</v>
      </c>
      <c r="B32" s="6" t="s">
        <v>17</v>
      </c>
      <c r="C32" s="6" t="s">
        <v>76</v>
      </c>
      <c r="D32" s="6" t="s">
        <v>77</v>
      </c>
      <c r="E32" s="7" t="s">
        <v>80</v>
      </c>
      <c r="F32" s="6" t="n">
        <v>3</v>
      </c>
      <c r="G32" s="6" t="n">
        <v>0.5</v>
      </c>
      <c r="H32" s="6" t="n">
        <f aca="false">F32+G32</f>
        <v>3.5</v>
      </c>
    </row>
    <row r="33" customFormat="false" ht="30" hidden="false" customHeight="true" outlineLevel="0" collapsed="false">
      <c r="A33" s="8" t="s">
        <v>81</v>
      </c>
      <c r="B33" s="8" t="s">
        <v>21</v>
      </c>
      <c r="C33" s="8" t="s">
        <v>82</v>
      </c>
      <c r="D33" s="8" t="s">
        <v>83</v>
      </c>
      <c r="E33" s="9" t="s">
        <v>84</v>
      </c>
      <c r="F33" s="8"/>
      <c r="G33" s="8"/>
      <c r="H33" s="8"/>
    </row>
    <row r="34" customFormat="false" ht="15" hidden="false" customHeight="false" outlineLevel="0" collapsed="false">
      <c r="D34" s="10" t="s">
        <v>85</v>
      </c>
      <c r="F34" s="11" t="n">
        <f aca="false">SUM(F2:F33)</f>
        <v>55.5</v>
      </c>
      <c r="G34" s="11" t="n">
        <f aca="false">SUM(G2:G33)</f>
        <v>15.5</v>
      </c>
      <c r="H34" s="11" t="n">
        <f aca="false">SUM(H2:H33)</f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2026-07-01T18:01:45Z</dcterms:created>
  <dc:creator>openpyxl</dc:creator>
  <dc:description/>
  <dc:language>en-US</dc:language>
  <cp:lastModifiedBy/>
  <dcterms:modified xsi:type="dcterms:W3CDTF">2026-07-01T18:01:45Z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